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quity Holders" sheetId="2" state="visible" r:id="rId2"/>
    <sheet xmlns:r="http://schemas.openxmlformats.org/officeDocument/2006/relationships" name="Funding Rounds" sheetId="3" state="visible" r:id="rId3"/>
    <sheet xmlns:r="http://schemas.openxmlformats.org/officeDocument/2006/relationships" name="Dilution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%"/>
    <numFmt numFmtId="166" formatCode="$#,##0.00"/>
  </numFmts>
  <fonts count="7">
    <font>
      <name val="Calibri"/>
      <family val="2"/>
      <color theme="1"/>
      <sz val="11"/>
      <scheme val="minor"/>
    </font>
    <font>
      <b val="1"/>
      <sz val="14"/>
    </font>
    <font>
      <color rgb="000000FF"/>
    </font>
    <font>
      <color rgb="00000000"/>
    </font>
    <font>
      <b val="1"/>
      <sz val="11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164" fontId="2" fillId="0" borderId="0" pivotButton="0" quotePrefix="0" xfId="0"/>
    <xf numFmtId="0" fontId="3" fillId="0" borderId="0" pivotButton="0" quotePrefix="0" xfId="0"/>
    <xf numFmtId="165" fontId="2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/>
    </xf>
    <xf numFmtId="3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6" fillId="0" borderId="0" pivotButton="0" quotePrefix="0" xfId="0"/>
    <xf numFmtId="3" fontId="6" fillId="0" borderId="0" pivotButton="0" quotePrefix="0" xfId="0"/>
    <xf numFmtId="165" fontId="6" fillId="0" borderId="0" pivotButton="0" quotePrefix="0" xfId="0"/>
    <xf numFmtId="164" fontId="6" fillId="0" borderId="0" pivotButton="0" quotePrefix="0" xfId="0"/>
    <xf numFmtId="0" fontId="5" fillId="2" borderId="0" pivotButton="0" quotePrefix="0" xfId="0"/>
    <xf numFmtId="166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1" t="inlineStr">
        <is>
          <t>CAPITALIZATION TABLE SUMMARY</t>
        </is>
      </c>
    </row>
    <row r="3">
      <c r="A3" t="inlineStr">
        <is>
          <t>Current Valuation</t>
        </is>
      </c>
      <c r="B3" s="2" t="n">
        <v>75000000</v>
      </c>
    </row>
    <row r="4">
      <c r="A4" t="inlineStr">
        <is>
          <t>Total Shares Outstanding</t>
        </is>
      </c>
      <c r="B4" s="3">
        <f>SUM(C4:F4)</f>
        <v/>
      </c>
    </row>
    <row r="5">
      <c r="A5" t="inlineStr">
        <is>
          <t>Fully Diluted Shares</t>
        </is>
      </c>
      <c r="B5" s="3">
        <f>SUM(C5:F5)</f>
        <v/>
      </c>
    </row>
    <row r="6">
      <c r="A6" t="inlineStr">
        <is>
          <t>Option Pool Size (%)</t>
        </is>
      </c>
      <c r="B6" s="4" t="n">
        <v>0.1</v>
      </c>
    </row>
    <row r="8">
      <c r="A8" s="5" t="inlineStr">
        <is>
          <t>Share Class Breakdown</t>
        </is>
      </c>
    </row>
    <row r="9">
      <c r="A9" s="6" t="inlineStr">
        <is>
          <t>Share Class</t>
        </is>
      </c>
      <c r="B9" s="6" t="inlineStr">
        <is>
          <t>Shares</t>
        </is>
      </c>
      <c r="C9" s="6" t="inlineStr">
        <is>
          <t>Fully Diluted %</t>
        </is>
      </c>
      <c r="D9" s="6" t="inlineStr">
        <is>
          <t>Value</t>
        </is>
      </c>
    </row>
    <row r="10">
      <c r="A10" t="inlineStr">
        <is>
          <t>Common</t>
        </is>
      </c>
      <c r="B10" s="7" t="n">
        <v>5000000</v>
      </c>
      <c r="C10" s="8" t="n">
        <v>0.625</v>
      </c>
      <c r="D10" s="9">
        <f>B10*$B$3</f>
        <v/>
      </c>
    </row>
    <row r="11">
      <c r="A11" t="inlineStr">
        <is>
          <t>Series A Preferred</t>
        </is>
      </c>
      <c r="B11" s="7" t="n">
        <v>1200000</v>
      </c>
      <c r="C11" s="8" t="n">
        <v>0.15</v>
      </c>
      <c r="D11" s="9">
        <f>B11*$B$3</f>
        <v/>
      </c>
    </row>
    <row r="12">
      <c r="A12" t="inlineStr">
        <is>
          <t>Series B Preferred</t>
        </is>
      </c>
      <c r="B12" s="7" t="n">
        <v>560000</v>
      </c>
      <c r="C12" s="8" t="n">
        <v>0.07000000000000001</v>
      </c>
      <c r="D12" s="9">
        <f>B12*$B$3</f>
        <v/>
      </c>
    </row>
    <row r="13">
      <c r="A13" t="inlineStr">
        <is>
          <t>Option Pool</t>
        </is>
      </c>
      <c r="B13" s="7" t="n">
        <v>240000</v>
      </c>
      <c r="C13" s="8" t="n">
        <v>0.03</v>
      </c>
      <c r="D13" s="9">
        <f>B13*$B$3</f>
        <v/>
      </c>
    </row>
    <row r="14">
      <c r="A14" t="inlineStr">
        <is>
          <t>Unallocated</t>
        </is>
      </c>
      <c r="B14" s="7" t="n">
        <v>0</v>
      </c>
      <c r="C14" s="8" t="n">
        <v>0.125</v>
      </c>
      <c r="D14" s="9">
        <f>B14*$B$3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0" t="inlineStr">
        <is>
          <t>Shareholder</t>
        </is>
      </c>
      <c r="B1" s="10" t="inlineStr">
        <is>
          <t>Share Class</t>
        </is>
      </c>
      <c r="C1" s="10" t="inlineStr">
        <is>
          <t>Shares</t>
        </is>
      </c>
      <c r="D1" s="10" t="inlineStr">
        <is>
          <t>% of Total</t>
        </is>
      </c>
      <c r="E1" s="10" t="inlineStr">
        <is>
          <t>% Fully Diluted</t>
        </is>
      </c>
      <c r="F1" s="10" t="inlineStr">
        <is>
          <t>Value</t>
        </is>
      </c>
      <c r="G1" s="10" t="inlineStr">
        <is>
          <t>Vesting Start</t>
        </is>
      </c>
      <c r="H1" s="10" t="inlineStr">
        <is>
          <t>Vesting Schedule</t>
        </is>
      </c>
    </row>
    <row r="2">
      <c r="A2" t="inlineStr">
        <is>
          <t>Alice Johnson (Founder &amp; CEO)</t>
        </is>
      </c>
      <c r="B2" t="inlineStr">
        <is>
          <t>Common</t>
        </is>
      </c>
      <c r="C2" s="7" t="n">
        <v>3000000</v>
      </c>
      <c r="D2" s="8">
        <f>B2/$Summary.$B$4</f>
        <v/>
      </c>
      <c r="E2" s="8">
        <f>B2/$Summary.$B$5</f>
        <v/>
      </c>
      <c r="F2" s="9">
        <f>C2*$Summary.$B$3</f>
        <v/>
      </c>
      <c r="G2" t="inlineStr">
        <is>
          <t>2020-01-15</t>
        </is>
      </c>
      <c r="H2" t="inlineStr">
        <is>
          <t>4yr / 1yr cliff</t>
        </is>
      </c>
    </row>
    <row r="3">
      <c r="A3" t="inlineStr">
        <is>
          <t>Bob Smith (Founder &amp; CTO)</t>
        </is>
      </c>
      <c r="B3" t="inlineStr">
        <is>
          <t>Common</t>
        </is>
      </c>
      <c r="C3" s="7" t="n">
        <v>2000000</v>
      </c>
      <c r="D3" s="8">
        <f>B3/$Summary.$B$4</f>
        <v/>
      </c>
      <c r="E3" s="8">
        <f>B3/$Summary.$B$5</f>
        <v/>
      </c>
      <c r="F3" s="9">
        <f>C3*$Summary.$B$3</f>
        <v/>
      </c>
      <c r="G3" t="inlineStr">
        <is>
          <t>2020-01-15</t>
        </is>
      </c>
      <c r="H3" t="inlineStr">
        <is>
          <t>4yr / 1yr cliff</t>
        </is>
      </c>
    </row>
    <row r="4">
      <c r="A4" t="inlineStr">
        <is>
          <t>Venture Capital Fund A</t>
        </is>
      </c>
      <c r="B4" t="inlineStr">
        <is>
          <t>Series A Preferred</t>
        </is>
      </c>
      <c r="C4" s="7" t="n">
        <v>900000</v>
      </c>
      <c r="D4" s="8">
        <f>B4/$Summary.$B$4</f>
        <v/>
      </c>
      <c r="E4" s="8">
        <f>B4/$Summary.$B$5</f>
        <v/>
      </c>
      <c r="F4" s="9">
        <f>C4*$Summary.$B$3</f>
        <v/>
      </c>
      <c r="G4" t="inlineStr">
        <is>
          <t>2021-06-01</t>
        </is>
      </c>
      <c r="H4" t="inlineStr">
        <is>
          <t>Fully vested</t>
        </is>
      </c>
    </row>
    <row r="5">
      <c r="A5" t="inlineStr">
        <is>
          <t>Angel Investor Group</t>
        </is>
      </c>
      <c r="B5" t="inlineStr">
        <is>
          <t>Series A Preferred</t>
        </is>
      </c>
      <c r="C5" s="7" t="n">
        <v>300000</v>
      </c>
      <c r="D5" s="8">
        <f>B5/$Summary.$B$4</f>
        <v/>
      </c>
      <c r="E5" s="8">
        <f>B5/$Summary.$B$5</f>
        <v/>
      </c>
      <c r="F5" s="9">
        <f>C5*$Summary.$B$3</f>
        <v/>
      </c>
      <c r="G5" t="inlineStr">
        <is>
          <t>2021-06-01</t>
        </is>
      </c>
      <c r="H5" t="inlineStr">
        <is>
          <t>Fully vested</t>
        </is>
      </c>
    </row>
    <row r="6">
      <c r="A6" t="inlineStr">
        <is>
          <t>Venture Capital Fund B</t>
        </is>
      </c>
      <c r="B6" t="inlineStr">
        <is>
          <t>Series B Preferred</t>
        </is>
      </c>
      <c r="C6" s="7" t="n">
        <v>400000</v>
      </c>
      <c r="D6" s="8">
        <f>B6/$Summary.$B$4</f>
        <v/>
      </c>
      <c r="E6" s="8">
        <f>B6/$Summary.$B$5</f>
        <v/>
      </c>
      <c r="F6" s="9">
        <f>C6*$Summary.$B$3</f>
        <v/>
      </c>
      <c r="G6" t="inlineStr">
        <is>
          <t>2023-03-15</t>
        </is>
      </c>
      <c r="H6" t="inlineStr">
        <is>
          <t>Fully vested</t>
        </is>
      </c>
    </row>
    <row r="7">
      <c r="A7" t="inlineStr">
        <is>
          <t>Secondary Investors</t>
        </is>
      </c>
      <c r="B7" t="inlineStr">
        <is>
          <t>Series B Preferred</t>
        </is>
      </c>
      <c r="C7" s="7" t="n">
        <v>160000</v>
      </c>
      <c r="D7" s="8">
        <f>B7/$Summary.$B$4</f>
        <v/>
      </c>
      <c r="E7" s="8">
        <f>B7/$Summary.$B$5</f>
        <v/>
      </c>
      <c r="F7" s="9">
        <f>C7*$Summary.$B$3</f>
        <v/>
      </c>
      <c r="G7" t="inlineStr">
        <is>
          <t>2023-03-15</t>
        </is>
      </c>
      <c r="H7" t="inlineStr">
        <is>
          <t>Fully vested</t>
        </is>
      </c>
    </row>
    <row r="8">
      <c r="A8" t="inlineStr">
        <is>
          <t>Employee Stock Option Pool</t>
        </is>
      </c>
      <c r="B8" t="inlineStr">
        <is>
          <t>Option Pool</t>
        </is>
      </c>
      <c r="C8" s="7" t="n">
        <v>240000</v>
      </c>
      <c r="D8" s="8">
        <f>B8/$Summary.$B$4</f>
        <v/>
      </c>
      <c r="E8" s="8">
        <f>B8/$Summary.$B$5</f>
        <v/>
      </c>
      <c r="F8" s="9">
        <f>C8*$Summary.$B$3</f>
        <v/>
      </c>
      <c r="G8" t="inlineStr">
        <is>
          <t>Varies</t>
        </is>
      </c>
      <c r="H8" t="inlineStr">
        <is>
          <t>Varies by grant</t>
        </is>
      </c>
    </row>
    <row r="9">
      <c r="A9" s="11" t="inlineStr">
        <is>
          <t>TOTAL</t>
        </is>
      </c>
      <c r="C9" s="12">
        <f>SUM(C2:C8)</f>
        <v/>
      </c>
      <c r="D9" s="13">
        <f>SUM(D2:D8)</f>
        <v/>
      </c>
      <c r="E9" s="13">
        <f>SUM(E2:E8)</f>
        <v/>
      </c>
      <c r="F9" s="14">
        <f>SUM(F2:F8)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FUNDING ROUNDS SUMMARY</t>
        </is>
      </c>
    </row>
    <row r="3">
      <c r="A3" s="15" t="inlineStr">
        <is>
          <t>Round</t>
        </is>
      </c>
      <c r="B3" s="15" t="inlineStr">
        <is>
          <t>Close Date</t>
        </is>
      </c>
      <c r="C3" s="15" t="inlineStr">
        <is>
          <t>Amount Raised</t>
        </is>
      </c>
      <c r="D3" s="15" t="inlineStr">
        <is>
          <t>Price Per Share</t>
        </is>
      </c>
      <c r="E3" s="15" t="inlineStr">
        <is>
          <t>Shares Issued</t>
        </is>
      </c>
      <c r="F3" s="15" t="inlineStr">
        <is>
          <t>Post-Money Valuation</t>
        </is>
      </c>
    </row>
    <row r="4">
      <c r="A4" t="inlineStr">
        <is>
          <t>Seed</t>
        </is>
      </c>
      <c r="B4" t="inlineStr">
        <is>
          <t>2020-01-15</t>
        </is>
      </c>
      <c r="C4" s="2" t="n">
        <v>500000</v>
      </c>
      <c r="D4" s="16" t="n">
        <v>0.1</v>
      </c>
      <c r="E4" s="7">
        <f>D4/C4</f>
        <v/>
      </c>
      <c r="F4" s="2" t="n">
        <v>5000000</v>
      </c>
    </row>
    <row r="5">
      <c r="A5" t="inlineStr">
        <is>
          <t>Series A</t>
        </is>
      </c>
      <c r="B5" t="inlineStr">
        <is>
          <t>2021-06-01</t>
        </is>
      </c>
      <c r="C5" s="2" t="n">
        <v>9000000</v>
      </c>
      <c r="D5" s="16" t="n">
        <v>7.5</v>
      </c>
      <c r="E5" s="7">
        <f>D5/C5</f>
        <v/>
      </c>
      <c r="F5" s="2" t="n">
        <v>19000000</v>
      </c>
    </row>
    <row r="6">
      <c r="A6" t="inlineStr">
        <is>
          <t>Series B</t>
        </is>
      </c>
      <c r="B6" t="inlineStr">
        <is>
          <t>2023-03-15</t>
        </is>
      </c>
      <c r="C6" s="2" t="n">
        <v>42000000</v>
      </c>
      <c r="D6" s="16" t="n">
        <v>75</v>
      </c>
      <c r="E6" s="7">
        <f>D6/C6</f>
        <v/>
      </c>
      <c r="F6" s="2" t="n">
        <v>75000000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OWNERSHIP DILUTION ANALYSIS</t>
        </is>
      </c>
    </row>
    <row r="3">
      <c r="A3" s="15" t="inlineStr">
        <is>
          <t>Holder</t>
        </is>
      </c>
      <c r="B3" s="15" t="inlineStr">
        <is>
          <t>Post-Seed %</t>
        </is>
      </c>
      <c r="C3" s="15" t="inlineStr">
        <is>
          <t>Post-Series A %</t>
        </is>
      </c>
      <c r="D3" s="15" t="inlineStr">
        <is>
          <t>Post-Series B %</t>
        </is>
      </c>
      <c r="E3" s="15" t="inlineStr">
        <is>
          <t>Total Dilution</t>
        </is>
      </c>
      <c r="F3" s="15" t="inlineStr">
        <is>
          <t>Notes</t>
        </is>
      </c>
    </row>
    <row r="4">
      <c r="A4" t="inlineStr">
        <is>
          <t>Alice Johnson</t>
        </is>
      </c>
      <c r="B4" s="8" t="n">
        <v>1</v>
      </c>
      <c r="C4" s="8" t="n">
        <v>0.6</v>
      </c>
      <c r="D4" s="8" t="n">
        <v>0.5</v>
      </c>
      <c r="E4" s="8" t="n">
        <v>-0.5</v>
      </c>
      <c r="F4" t="inlineStr">
        <is>
          <t>Founder - 50% dilution</t>
        </is>
      </c>
    </row>
    <row r="5">
      <c r="A5" t="inlineStr">
        <is>
          <t>Bob Smith</t>
        </is>
      </c>
      <c r="B5" s="8" t="n">
        <v>1</v>
      </c>
      <c r="C5" s="8" t="n">
        <v>0.4</v>
      </c>
      <c r="D5" s="8" t="n">
        <v>0.333</v>
      </c>
      <c r="E5" s="8" t="n">
        <v>-0.667</v>
      </c>
      <c r="F5" t="inlineStr">
        <is>
          <t>Founder - 66.7% dilution</t>
        </is>
      </c>
    </row>
    <row r="6">
      <c r="A6" t="inlineStr">
        <is>
          <t>Series A Investors</t>
        </is>
      </c>
      <c r="B6" s="8" t="n">
        <v>0</v>
      </c>
      <c r="C6" s="8" t="n">
        <v>0.3</v>
      </c>
      <c r="D6" s="8" t="n">
        <v>0.2</v>
      </c>
      <c r="E6" t="inlineStr">
        <is>
          <t>N/A</t>
        </is>
      </c>
      <c r="F6" t="inlineStr">
        <is>
          <t>New in Series A</t>
        </is>
      </c>
    </row>
    <row r="7">
      <c r="A7" t="inlineStr">
        <is>
          <t>Series B Investors</t>
        </is>
      </c>
      <c r="B7" s="8" t="n">
        <v>0</v>
      </c>
      <c r="C7" s="8" t="n">
        <v>0</v>
      </c>
      <c r="D7" s="8" t="n">
        <v>0.107</v>
      </c>
      <c r="E7" t="inlineStr">
        <is>
          <t>N/A</t>
        </is>
      </c>
      <c r="F7" t="inlineStr">
        <is>
          <t>New in Series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2026-06-02T13:41:23Z</dcterms:created>
  <dcterms:modified xmlns:dcterms="http://purl.org/dc/terms/" xmlns:xsi="http://www.w3.org/2001/XMLSchema-instance" xsi:type="dcterms:W3CDTF">2026-06-02T13:41:23Z</dcterms:modified>
</cp:coreProperties>
</file>